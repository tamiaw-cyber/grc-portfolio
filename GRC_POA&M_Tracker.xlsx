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A&amp;M Tracker" sheetId="1" state="visible" r:id="rId3"/>
    <sheet name="Risk Matrix" sheetId="2" state="visible" r:id="rId4"/>
    <sheet name="Control Reference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<sst xmlns="http://schemas.openxmlformats.org/spreadsheetml/2006/main" count="211" uniqueCount="133">
  <si>
    <t xml:space="preserve">PLAN OF ACTION &amp; MILESTONES (POA&amp;M) — Healthcare Security Assessment</t>
  </si>
  <si>
    <t xml:space="preserve">Prepared by: Tamia Williams  |  Assessment Date: May 2025  |  Status: Active Remediation</t>
  </si>
  <si>
    <t xml:space="preserve">POA&amp;M ID</t>
  </si>
  <si>
    <t xml:space="preserve">Finding ID</t>
  </si>
  <si>
    <t xml:space="preserve">Control ID</t>
  </si>
  <si>
    <t xml:space="preserve">Weakness Description</t>
  </si>
  <si>
    <t xml:space="preserve">Likelihood
(1-5)</t>
  </si>
  <si>
    <t xml:space="preserve">Impact
(1-5)</t>
  </si>
  <si>
    <t xml:space="preserve">Risk Score</t>
  </si>
  <si>
    <t xml:space="preserve">Risk Level</t>
  </si>
  <si>
    <t xml:space="preserve">Remediation Action</t>
  </si>
  <si>
    <t xml:space="preserve">Responsible
Owner</t>
  </si>
  <si>
    <t xml:space="preserve">Resources
Required</t>
  </si>
  <si>
    <t xml:space="preserve">Scheduled
Completion</t>
  </si>
  <si>
    <t xml:space="preserve">Actual
Completion</t>
  </si>
  <si>
    <t xml:space="preserve">Status</t>
  </si>
  <si>
    <t xml:space="preserve">% Complete</t>
  </si>
  <si>
    <t xml:space="preserve">Notes / Evidence</t>
  </si>
  <si>
    <t xml:space="preserve">POA-001</t>
  </si>
  <si>
    <t xml:space="preserve">F-001</t>
  </si>
  <si>
    <t xml:space="preserve">AC-6</t>
  </si>
  <si>
    <t xml:space="preserve">Users granted excessive system access beyond job function requirements.</t>
  </si>
  <si>
    <t xml:space="preserve">Implement RBAC framework; deploy centralized IAM; enforce quarterly access audits.</t>
  </si>
  <si>
    <t xml:space="preserve">IT Security Officer</t>
  </si>
  <si>
    <t xml:space="preserve">IAM platform license; 40 hrs IT labor</t>
  </si>
  <si>
    <t xml:space="preserve">2025-09-30</t>
  </si>
  <si>
    <t xml:space="preserve">Open</t>
  </si>
  <si>
    <t xml:space="preserve">NIST SP 800-53 AC-6; User access review 05/2025</t>
  </si>
  <si>
    <t xml:space="preserve">POA-002</t>
  </si>
  <si>
    <t xml:space="preserve">F-006</t>
  </si>
  <si>
    <t xml:space="preserve">IA-2</t>
  </si>
  <si>
    <t xml:space="preserve">Remote and privileged access lacks MFA enforcement, exposing PII.</t>
  </si>
  <si>
    <t xml:space="preserve">Enforce MFA for all remote and privileged accounts per NIST SP 800-63.</t>
  </si>
  <si>
    <t xml:space="preserve">MFA solution license; 20 hrs implementation</t>
  </si>
  <si>
    <t xml:space="preserve">Authentication config review 05/2025; NIST SP 800-63</t>
  </si>
  <si>
    <t xml:space="preserve">POA-003</t>
  </si>
  <si>
    <t xml:space="preserve">F-003</t>
  </si>
  <si>
    <t xml:space="preserve">RA-3</t>
  </si>
  <si>
    <t xml:space="preserve">No current organizational risk assessment exists.</t>
  </si>
  <si>
    <t xml:space="preserve">Conduct full NIST SP 800-30 risk assessment; schedule annual reassessments.</t>
  </si>
  <si>
    <t xml:space="preserve">CISO</t>
  </si>
  <si>
    <t xml:space="preserve">External assessor or 60 hrs internal labor</t>
  </si>
  <si>
    <t xml:space="preserve">Document request 05/2025; SSP review</t>
  </si>
  <si>
    <t xml:space="preserve">POA-004</t>
  </si>
  <si>
    <t xml:space="preserve">F-002</t>
  </si>
  <si>
    <t xml:space="preserve">CA-7</t>
  </si>
  <si>
    <t xml:space="preserve">No SIEM or automated monitoring in place; detection is manual.</t>
  </si>
  <si>
    <t xml:space="preserve">Deploy SIEM with automated alerting, baselines, and 24/7 coverage.</t>
  </si>
  <si>
    <t xml:space="preserve">SOC Lead</t>
  </si>
  <si>
    <t xml:space="preserve">SIEM license; 80 hrs config + integration</t>
  </si>
  <si>
    <t xml:space="preserve">2025-12-31</t>
  </si>
  <si>
    <t xml:space="preserve">Network architecture review 05/2025; NIST SP 800-137</t>
  </si>
  <si>
    <t xml:space="preserve">POA-005</t>
  </si>
  <si>
    <t xml:space="preserve">F-007</t>
  </si>
  <si>
    <t xml:space="preserve">SI-3</t>
  </si>
  <si>
    <t xml:space="preserve">Multiple workstations running unlicensed or no antivirus software.</t>
  </si>
  <si>
    <t xml:space="preserve">Deploy enterprise-grade EDR; centralized mgmt and auto-updates.</t>
  </si>
  <si>
    <t xml:space="preserve">Endpoint Security Mgr</t>
  </si>
  <si>
    <t xml:space="preserve">EDR license; 16 hrs deployment</t>
  </si>
  <si>
    <t xml:space="preserve">Endpoint inventory scan 05/2025; software license audit</t>
  </si>
  <si>
    <t xml:space="preserve">POA-006</t>
  </si>
  <si>
    <t xml:space="preserve">F-004</t>
  </si>
  <si>
    <t xml:space="preserve">CA-5</t>
  </si>
  <si>
    <t xml:space="preserve">No structured POA&amp;M tracking process exists for known vulnerabilities.</t>
  </si>
  <si>
    <t xml:space="preserve">Establish POA&amp;M process within GRC platform with ownership and deadlines.</t>
  </si>
  <si>
    <t xml:space="preserve">Compliance Manager</t>
  </si>
  <si>
    <t xml:space="preserve">GRC platform (or spreadsheet); 16 hrs setup</t>
  </si>
  <si>
    <t xml:space="preserve">GRC platform audit 05/2025; prior audit findings</t>
  </si>
  <si>
    <t xml:space="preserve">POA-007</t>
  </si>
  <si>
    <t xml:space="preserve">F-005</t>
  </si>
  <si>
    <t xml:space="preserve">RA-7</t>
  </si>
  <si>
    <t xml:space="preserve">Risk acceptance decisions are undocumented and inconsistently applied.</t>
  </si>
  <si>
    <t xml:space="preserve">Establish cross-functional risk committee; document all risk decisions.</t>
  </si>
  <si>
    <t xml:space="preserve">4 hrs/quarter committee meetings</t>
  </si>
  <si>
    <t xml:space="preserve">Stakeholder interviews 05/2025; incident log review</t>
  </si>
  <si>
    <t xml:space="preserve">RISK SCORING MATRIX  —  Score = Likelihood × Impact</t>
  </si>
  <si>
    <t xml:space="preserve">Impact 1
Negligible</t>
  </si>
  <si>
    <t xml:space="preserve">Impact 2
Minor</t>
  </si>
  <si>
    <t xml:space="preserve">Impact 3
Moderate</t>
  </si>
  <si>
    <t xml:space="preserve">Impact 4
Major</t>
  </si>
  <si>
    <t xml:space="preserve">Impact 5
Critical</t>
  </si>
  <si>
    <t xml:space="preserve">5 — Almost Certain</t>
  </si>
  <si>
    <t xml:space="preserve">4 — Likely</t>
  </si>
  <si>
    <t xml:space="preserve">3 — Possible</t>
  </si>
  <si>
    <t xml:space="preserve">2 — Unlikely</t>
  </si>
  <si>
    <t xml:space="preserve">1 — Rare</t>
  </si>
  <si>
    <t xml:space="preserve">LOW  (1–5)</t>
  </si>
  <si>
    <t xml:space="preserve">MODERATE  (6–11)</t>
  </si>
  <si>
    <t xml:space="preserve">HIGH  (12–19)</t>
  </si>
  <si>
    <t xml:space="preserve">CRITICAL  (20–25)</t>
  </si>
  <si>
    <t xml:space="preserve">NIST SP 800-53 Rev. 5 — Control Reference</t>
  </si>
  <si>
    <t xml:space="preserve">Control Name</t>
  </si>
  <si>
    <t xml:space="preserve">Control Family</t>
  </si>
  <si>
    <t xml:space="preserve">Assessment Result</t>
  </si>
  <si>
    <t xml:space="preserve">Remediation Status</t>
  </si>
  <si>
    <t xml:space="preserve">Least Privilege</t>
  </si>
  <si>
    <t xml:space="preserve">Access Control</t>
  </si>
  <si>
    <t xml:space="preserve">Other Than Satisfied</t>
  </si>
  <si>
    <t xml:space="preserve">Plan of Action and Milestones</t>
  </si>
  <si>
    <t xml:space="preserve">Assessment &amp; Authorization</t>
  </si>
  <si>
    <t xml:space="preserve">Continuous Monitoring</t>
  </si>
  <si>
    <t xml:space="preserve">Identification &amp; Authentication</t>
  </si>
  <si>
    <t xml:space="preserve">Identification &amp; Auth</t>
  </si>
  <si>
    <t xml:space="preserve">Risk Assessment</t>
  </si>
  <si>
    <t xml:space="preserve">Risk Response</t>
  </si>
  <si>
    <t xml:space="preserve">Malicious Code Protection</t>
  </si>
  <si>
    <t xml:space="preserve">System &amp; Info Integrity</t>
  </si>
  <si>
    <t xml:space="preserve">POA&amp;M DASHBOARD — At a Glance</t>
  </si>
  <si>
    <t xml:space="preserve">Total Findings</t>
  </si>
  <si>
    <t xml:space="preserve">In Progress</t>
  </si>
  <si>
    <t xml:space="preserve">Closed</t>
  </si>
  <si>
    <t xml:space="preserve">High / Critical</t>
  </si>
  <si>
    <t xml:space="preserve">Moderate</t>
  </si>
  <si>
    <t xml:space="preserve">Low</t>
  </si>
  <si>
    <t xml:space="preserve">Target: Q3 2025</t>
  </si>
  <si>
    <t xml:space="preserve">Control</t>
  </si>
  <si>
    <t xml:space="preserve">Finding</t>
  </si>
  <si>
    <t xml:space="preserve">Owner</t>
  </si>
  <si>
    <t xml:space="preserve">Target</t>
  </si>
  <si>
    <t xml:space="preserve">Least Privilege Not Enforced</t>
  </si>
  <si>
    <t xml:space="preserve">CRITICAL</t>
  </si>
  <si>
    <t xml:space="preserve">Q3 2025</t>
  </si>
  <si>
    <t xml:space="preserve">No MFA Enforcement</t>
  </si>
  <si>
    <t xml:space="preserve">Risk Assessment Outdated / Missing</t>
  </si>
  <si>
    <t xml:space="preserve">HIGH</t>
  </si>
  <si>
    <t xml:space="preserve">No Continuous Monitoring / SIEM</t>
  </si>
  <si>
    <t xml:space="preserve">Q4 2025</t>
  </si>
  <si>
    <t xml:space="preserve">Inadequate Endpoint Protection</t>
  </si>
  <si>
    <t xml:space="preserve">Endpoint Sec Mgr</t>
  </si>
  <si>
    <t xml:space="preserve">No Formal POA&amp;M Process</t>
  </si>
  <si>
    <t xml:space="preserve">MODERATE</t>
  </si>
  <si>
    <t xml:space="preserve">Compliance Mgr</t>
  </si>
  <si>
    <t xml:space="preserve">Inconsistent Risk Response Decisions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</si>
</sst>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3A5C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9"/>
      <color rgb="FF1111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2C5F8A"/>
      <name val="Arial"/>
      <family val="0"/>
      <charset val="1"/>
    </font>
    <font>
      <b val="true"/>
      <sz val="20"/>
      <color rgb="FFC0392B"/>
      <name val="Arial"/>
      <family val="0"/>
      <charset val="1"/>
    </font>
    <font>
      <b val="true"/>
      <sz val="20"/>
      <color rgb="FFD35400"/>
      <name val="Arial"/>
      <family val="0"/>
      <charset val="1"/>
    </font>
    <font>
      <b val="true"/>
      <sz val="20"/>
      <color rgb="FF1E7B34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9"/>
      <color rgb="FFC0392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C5F8A"/>
        <bgColor rgb="FF0066CC"/>
      </patternFill>
    </fill>
    <fill>
      <patternFill patternType="solid">
        <fgColor rgb="FFF4F6F9"/>
        <bgColor rgb="FFE8F5E9"/>
      </patternFill>
    </fill>
    <fill>
      <patternFill patternType="solid">
        <fgColor rgb="FFFFFFFF"/>
        <bgColor rgb="FFF4F6F9"/>
      </patternFill>
    </fill>
    <fill>
      <patternFill patternType="solid">
        <fgColor rgb="FF1E7B34"/>
        <bgColor rgb="FF008080"/>
      </patternFill>
    </fill>
    <fill>
      <patternFill patternType="solid">
        <fgColor rgb="FFD4A017"/>
        <bgColor rgb="FFFFCC00"/>
      </patternFill>
    </fill>
    <fill>
      <patternFill patternType="solid">
        <fgColor rgb="FFD35400"/>
        <bgColor rgb="FFC0392B"/>
      </patternFill>
    </fill>
    <fill>
      <patternFill patternType="solid">
        <fgColor rgb="FFC0392B"/>
        <bgColor rgb="FFD354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DECEA"/>
        </patternFill>
      </fill>
    </dxf>
    <dxf>
      <fill>
        <patternFill>
          <bgColor rgb="FFFFF8E1"/>
        </patternFill>
      </fill>
    </dxf>
    <dxf>
      <fill>
        <patternFill>
          <bgColor rgb="FFE8F5E9"/>
        </patternFill>
      </fill>
    </dxf>
    <dxf>
      <fill>
        <patternFill>
          <bgColor rgb="FFE3F2FD"/>
        </patternFill>
      </fill>
    </dxf>
    <dxf>
      <fill>
        <patternFill>
          <bgColor rgb="FFF3E5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4F6F9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017"/>
      <rgbColor rgb="FFD35400"/>
      <rgbColor rgb="FF2C5F8A"/>
      <rgbColor rgb="FF969696"/>
      <rgbColor rgb="FF1B3A5C"/>
      <rgbColor rgb="FF339966"/>
      <rgbColor rgb="FF111111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38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42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3" min="12" style="0" width="14"/>
    <col collapsed="false" customWidth="true" hidden="false" outlineLevel="0" max="15" min="14" style="0" width="12"/>
    <col collapsed="false" customWidth="true" hidden="false" outlineLevel="0" max="16" min="16" style="0" width="3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54" hidden="false" customHeight="true" outlineLevel="0" collapsed="false">
      <c r="A4" s="4" t="s">
        <v>18</v>
      </c>
      <c r="B4" s="4" t="s">
        <v>19</v>
      </c>
      <c r="C4" s="4" t="s">
        <v>20</v>
      </c>
      <c r="D4" s="5" t="s">
        <v>21</v>
      </c>
      <c r="E4" s="6" t="n">
        <v>4</v>
      </c>
      <c r="F4" s="6" t="n">
        <v>5</v>
      </c>
      <c r="G4" s="7" t="n">
        <f aca="false">E4*F4</f>
        <v>20</v>
      </c>
      <c r="H4" s="6" t="str">
        <f aca="false">IF(G4&gt;=20,"CRITICAL",IF(G4&gt;=12,"HIGH",IF(G4&gt;=6,"MODERATE","LOW")))</f>
        <v>CRITICAL</v>
      </c>
      <c r="I4" s="5" t="s">
        <v>22</v>
      </c>
      <c r="J4" s="8" t="s">
        <v>23</v>
      </c>
      <c r="K4" s="5" t="s">
        <v>24</v>
      </c>
      <c r="L4" s="5" t="s">
        <v>25</v>
      </c>
      <c r="M4" s="5"/>
      <c r="N4" s="9" t="s">
        <v>26</v>
      </c>
      <c r="O4" s="6" t="n">
        <v>0</v>
      </c>
      <c r="P4" s="5" t="s">
        <v>27</v>
      </c>
    </row>
    <row r="5" customFormat="false" ht="54" hidden="false" customHeight="true" outlineLevel="0" collapsed="false">
      <c r="A5" s="10" t="s">
        <v>28</v>
      </c>
      <c r="B5" s="10" t="s">
        <v>29</v>
      </c>
      <c r="C5" s="10" t="s">
        <v>30</v>
      </c>
      <c r="D5" s="11" t="s">
        <v>31</v>
      </c>
      <c r="E5" s="12" t="n">
        <v>4</v>
      </c>
      <c r="F5" s="12" t="n">
        <v>5</v>
      </c>
      <c r="G5" s="13" t="n">
        <f aca="false">E5*F5</f>
        <v>20</v>
      </c>
      <c r="H5" s="12" t="str">
        <f aca="false">IF(G5&gt;=20,"CRITICAL",IF(G5&gt;=12,"HIGH",IF(G5&gt;=6,"MODERATE","LOW")))</f>
        <v>CRITICAL</v>
      </c>
      <c r="I5" s="11" t="s">
        <v>32</v>
      </c>
      <c r="J5" s="14" t="s">
        <v>23</v>
      </c>
      <c r="K5" s="11" t="s">
        <v>33</v>
      </c>
      <c r="L5" s="11" t="s">
        <v>25</v>
      </c>
      <c r="M5" s="11"/>
      <c r="N5" s="15" t="s">
        <v>26</v>
      </c>
      <c r="O5" s="12" t="n">
        <v>0</v>
      </c>
      <c r="P5" s="11" t="s">
        <v>34</v>
      </c>
    </row>
    <row r="6" customFormat="false" ht="54" hidden="false" customHeight="true" outlineLevel="0" collapsed="false">
      <c r="A6" s="4" t="s">
        <v>35</v>
      </c>
      <c r="B6" s="4" t="s">
        <v>36</v>
      </c>
      <c r="C6" s="4" t="s">
        <v>37</v>
      </c>
      <c r="D6" s="5" t="s">
        <v>38</v>
      </c>
      <c r="E6" s="6" t="n">
        <v>3</v>
      </c>
      <c r="F6" s="6" t="n">
        <v>5</v>
      </c>
      <c r="G6" s="7" t="n">
        <f aca="false">E6*F6</f>
        <v>15</v>
      </c>
      <c r="H6" s="6" t="str">
        <f aca="false">IF(G6&gt;=20,"CRITICAL",IF(G6&gt;=12,"HIGH",IF(G6&gt;=6,"MODERATE","LOW")))</f>
        <v>HIGH</v>
      </c>
      <c r="I6" s="5" t="s">
        <v>39</v>
      </c>
      <c r="J6" s="8" t="s">
        <v>40</v>
      </c>
      <c r="K6" s="5" t="s">
        <v>41</v>
      </c>
      <c r="L6" s="5" t="s">
        <v>25</v>
      </c>
      <c r="M6" s="5"/>
      <c r="N6" s="9" t="s">
        <v>26</v>
      </c>
      <c r="O6" s="6" t="n">
        <v>0</v>
      </c>
      <c r="P6" s="5" t="s">
        <v>42</v>
      </c>
    </row>
    <row r="7" customFormat="false" ht="54" hidden="false" customHeight="true" outlineLevel="0" collapsed="false">
      <c r="A7" s="10" t="s">
        <v>43</v>
      </c>
      <c r="B7" s="10" t="s">
        <v>44</v>
      </c>
      <c r="C7" s="10" t="s">
        <v>45</v>
      </c>
      <c r="D7" s="11" t="s">
        <v>46</v>
      </c>
      <c r="E7" s="12" t="n">
        <v>4</v>
      </c>
      <c r="F7" s="12" t="n">
        <v>4</v>
      </c>
      <c r="G7" s="13" t="n">
        <f aca="false">E7*F7</f>
        <v>16</v>
      </c>
      <c r="H7" s="12" t="str">
        <f aca="false">IF(G7&gt;=20,"CRITICAL",IF(G7&gt;=12,"HIGH",IF(G7&gt;=6,"MODERATE","LOW")))</f>
        <v>HIGH</v>
      </c>
      <c r="I7" s="11" t="s">
        <v>47</v>
      </c>
      <c r="J7" s="14" t="s">
        <v>48</v>
      </c>
      <c r="K7" s="11" t="s">
        <v>49</v>
      </c>
      <c r="L7" s="11" t="s">
        <v>50</v>
      </c>
      <c r="M7" s="11"/>
      <c r="N7" s="15" t="s">
        <v>26</v>
      </c>
      <c r="O7" s="12" t="n">
        <v>0</v>
      </c>
      <c r="P7" s="11" t="s">
        <v>51</v>
      </c>
    </row>
    <row r="8" customFormat="false" ht="54" hidden="false" customHeight="true" outlineLevel="0" collapsed="false">
      <c r="A8" s="4" t="s">
        <v>52</v>
      </c>
      <c r="B8" s="4" t="s">
        <v>53</v>
      </c>
      <c r="C8" s="4" t="s">
        <v>54</v>
      </c>
      <c r="D8" s="5" t="s">
        <v>55</v>
      </c>
      <c r="E8" s="6" t="n">
        <v>3</v>
      </c>
      <c r="F8" s="6" t="n">
        <v>4</v>
      </c>
      <c r="G8" s="7" t="n">
        <f aca="false">E8*F8</f>
        <v>12</v>
      </c>
      <c r="H8" s="6" t="str">
        <f aca="false">IF(G8&gt;=20,"CRITICAL",IF(G8&gt;=12,"HIGH",IF(G8&gt;=6,"MODERATE","LOW")))</f>
        <v>HIGH</v>
      </c>
      <c r="I8" s="5" t="s">
        <v>56</v>
      </c>
      <c r="J8" s="8" t="s">
        <v>57</v>
      </c>
      <c r="K8" s="5" t="s">
        <v>58</v>
      </c>
      <c r="L8" s="5" t="s">
        <v>25</v>
      </c>
      <c r="M8" s="5"/>
      <c r="N8" s="9" t="s">
        <v>26</v>
      </c>
      <c r="O8" s="6" t="n">
        <v>0</v>
      </c>
      <c r="P8" s="5" t="s">
        <v>59</v>
      </c>
    </row>
    <row r="9" customFormat="false" ht="54" hidden="false" customHeight="true" outlineLevel="0" collapsed="false">
      <c r="A9" s="10" t="s">
        <v>60</v>
      </c>
      <c r="B9" s="10" t="s">
        <v>61</v>
      </c>
      <c r="C9" s="10" t="s">
        <v>62</v>
      </c>
      <c r="D9" s="11" t="s">
        <v>63</v>
      </c>
      <c r="E9" s="12" t="n">
        <v>3</v>
      </c>
      <c r="F9" s="12" t="n">
        <v>3</v>
      </c>
      <c r="G9" s="13" t="n">
        <f aca="false">E9*F9</f>
        <v>9</v>
      </c>
      <c r="H9" s="12" t="str">
        <f aca="false">IF(G9&gt;=20,"CRITICAL",IF(G9&gt;=12,"HIGH",IF(G9&gt;=6,"MODERATE","LOW")))</f>
        <v>MODERATE</v>
      </c>
      <c r="I9" s="11" t="s">
        <v>64</v>
      </c>
      <c r="J9" s="14" t="s">
        <v>65</v>
      </c>
      <c r="K9" s="11" t="s">
        <v>66</v>
      </c>
      <c r="L9" s="11" t="s">
        <v>25</v>
      </c>
      <c r="M9" s="11"/>
      <c r="N9" s="15" t="s">
        <v>26</v>
      </c>
      <c r="O9" s="12" t="n">
        <v>0</v>
      </c>
      <c r="P9" s="11" t="s">
        <v>67</v>
      </c>
    </row>
    <row r="10" customFormat="false" ht="54" hidden="false" customHeight="true" outlineLevel="0" collapsed="false">
      <c r="A10" s="4" t="s">
        <v>68</v>
      </c>
      <c r="B10" s="4" t="s">
        <v>69</v>
      </c>
      <c r="C10" s="4" t="s">
        <v>70</v>
      </c>
      <c r="D10" s="5" t="s">
        <v>71</v>
      </c>
      <c r="E10" s="6" t="n">
        <v>3</v>
      </c>
      <c r="F10" s="6" t="n">
        <v>3</v>
      </c>
      <c r="G10" s="7" t="n">
        <f aca="false">E10*F10</f>
        <v>9</v>
      </c>
      <c r="H10" s="6" t="str">
        <f aca="false">IF(G10&gt;=20,"CRITICAL",IF(G10&gt;=12,"HIGH",IF(G10&gt;=6,"MODERATE","LOW")))</f>
        <v>MODERATE</v>
      </c>
      <c r="I10" s="5" t="s">
        <v>72</v>
      </c>
      <c r="J10" s="8" t="s">
        <v>65</v>
      </c>
      <c r="K10" s="5" t="s">
        <v>73</v>
      </c>
      <c r="L10" s="5" t="s">
        <v>50</v>
      </c>
      <c r="M10" s="5"/>
      <c r="N10" s="9" t="s">
        <v>26</v>
      </c>
      <c r="O10" s="6" t="n">
        <v>0</v>
      </c>
      <c r="P10" s="5" t="s">
        <v>74</v>
      </c>
    </row>
  </sheetData>
  <mergeCells count="2">
    <mergeCell ref="A1:P1"/>
    <mergeCell ref="A2:P2"/>
  </mergeCells>
  <conditionalFormatting sqref="G4:G10">
    <cfRule type="colorScale" priority="2">
      <colorScale>
        <cfvo type="num" val="1"/>
        <cfvo type="num" val="12"/>
        <cfvo type="num" val="25"/>
        <color rgb="FF1E7B34"/>
        <color rgb="FFD4A017"/>
        <color rgb="FFC0392B"/>
      </colorScale>
    </cfRule>
  </conditionalFormatting>
  <conditionalFormatting sqref="N4:N10">
    <cfRule type="cellIs" priority="3" operator="equal" aboveAverage="0" equalAverage="0" bottom="0" percent="0" rank="0" text="" dxfId="0">
      <formula>"Open"</formula>
    </cfRule>
    <cfRule type="cellIs" priority="4" operator="equal" aboveAverage="0" equalAverage="0" bottom="0" percent="0" rank="0" text="" dxfId="1">
      <formula>"In Progress"</formula>
    </cfRule>
    <cfRule type="cellIs" priority="5" operator="equal" aboveAverage="0" equalAverage="0" bottom="0" percent="0" rank="0" text="" dxfId="2">
      <formula>"Closed"</formula>
    </cfRule>
    <cfRule type="cellIs" priority="6" operator="equal" aboveAverage="0" equalAverage="0" bottom="0" percent="0" rank="0" text="" dxfId="3">
      <formula>"Accepted"</formula>
    </cfRule>
    <cfRule type="cellIs" priority="7" operator="equal" aboveAverage="0" equalAverage="0" bottom="0" percent="0" rank="0" text="" dxfId="4">
      <formula>"Transferred"</formula>
    </cfRule>
  </conditionalFormatting>
  <dataValidations count="1">
    <dataValidation allowBlank="false" errorStyle="stop" operator="between" showDropDown="false" showErrorMessage="false" showInputMessage="false" sqref="N4:N100" type="list">
      <formula1>"Open,In Progress,Closed,Accepted,Transferred"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6"/>
  </cols>
  <sheetData>
    <row r="1" customFormat="false" ht="25.5" hidden="false" customHeight="true" outlineLevel="0" collapsed="false">
      <c r="A1" s="16" t="s">
        <v>75</v>
      </c>
      <c r="B1" s="16"/>
      <c r="C1" s="16"/>
      <c r="D1" s="16"/>
      <c r="E1" s="16"/>
      <c r="F1" s="16"/>
      <c r="G1" s="16"/>
    </row>
    <row r="2" customFormat="false" ht="31.5" hidden="false" customHeight="true" outlineLevel="0" collapsed="false">
      <c r="A2" s="3"/>
      <c r="B2" s="17" t="s">
        <v>76</v>
      </c>
      <c r="C2" s="17" t="s">
        <v>77</v>
      </c>
      <c r="D2" s="17" t="s">
        <v>78</v>
      </c>
      <c r="E2" s="17" t="s">
        <v>79</v>
      </c>
      <c r="F2" s="17" t="s">
        <v>80</v>
      </c>
    </row>
    <row r="3" customFormat="false" ht="25.5" hidden="false" customHeight="true" outlineLevel="0" collapsed="false">
      <c r="A3" s="3" t="s">
        <v>81</v>
      </c>
      <c r="B3" s="18" t="n">
        <v>5</v>
      </c>
      <c r="C3" s="19" t="n">
        <v>10</v>
      </c>
      <c r="D3" s="20" t="n">
        <v>15</v>
      </c>
      <c r="E3" s="21" t="n">
        <v>20</v>
      </c>
      <c r="F3" s="21" t="n">
        <v>25</v>
      </c>
    </row>
    <row r="4" customFormat="false" ht="25.5" hidden="false" customHeight="true" outlineLevel="0" collapsed="false">
      <c r="A4" s="3" t="s">
        <v>82</v>
      </c>
      <c r="B4" s="18" t="n">
        <v>4</v>
      </c>
      <c r="C4" s="19" t="n">
        <v>8</v>
      </c>
      <c r="D4" s="20" t="n">
        <v>12</v>
      </c>
      <c r="E4" s="20" t="n">
        <v>16</v>
      </c>
      <c r="F4" s="21" t="n">
        <v>20</v>
      </c>
    </row>
    <row r="5" customFormat="false" ht="25.5" hidden="false" customHeight="true" outlineLevel="0" collapsed="false">
      <c r="A5" s="3" t="s">
        <v>83</v>
      </c>
      <c r="B5" s="18" t="n">
        <v>3</v>
      </c>
      <c r="C5" s="19" t="n">
        <v>6</v>
      </c>
      <c r="D5" s="19" t="n">
        <v>9</v>
      </c>
      <c r="E5" s="20" t="n">
        <v>12</v>
      </c>
      <c r="F5" s="20" t="n">
        <v>15</v>
      </c>
    </row>
    <row r="6" customFormat="false" ht="25.5" hidden="false" customHeight="true" outlineLevel="0" collapsed="false">
      <c r="A6" s="3" t="s">
        <v>84</v>
      </c>
      <c r="B6" s="18" t="n">
        <v>2</v>
      </c>
      <c r="C6" s="18" t="n">
        <v>4</v>
      </c>
      <c r="D6" s="19" t="n">
        <v>6</v>
      </c>
      <c r="E6" s="19" t="n">
        <v>8</v>
      </c>
      <c r="F6" s="19" t="n">
        <v>10</v>
      </c>
    </row>
    <row r="7" customFormat="false" ht="25.5" hidden="false" customHeight="true" outlineLevel="0" collapsed="false">
      <c r="A7" s="3" t="s">
        <v>85</v>
      </c>
      <c r="B7" s="18" t="n">
        <v>1</v>
      </c>
      <c r="C7" s="18" t="n">
        <v>2</v>
      </c>
      <c r="D7" s="18" t="n">
        <v>3</v>
      </c>
      <c r="E7" s="18" t="n">
        <v>4</v>
      </c>
      <c r="F7" s="18" t="n">
        <v>5</v>
      </c>
    </row>
    <row r="9" customFormat="false" ht="15.75" hidden="false" customHeight="true" outlineLevel="0" collapsed="false"/>
    <row r="10" customFormat="false" ht="21.75" hidden="false" customHeight="true" outlineLevel="0" collapsed="false">
      <c r="A10" s="22" t="s">
        <v>86</v>
      </c>
      <c r="B10" s="22"/>
      <c r="C10" s="22"/>
      <c r="D10" s="22"/>
      <c r="E10" s="22"/>
      <c r="F10" s="22"/>
      <c r="G10" s="22"/>
    </row>
    <row r="11" customFormat="false" ht="21.75" hidden="false" customHeight="true" outlineLevel="0" collapsed="false">
      <c r="A11" s="23" t="s">
        <v>87</v>
      </c>
      <c r="B11" s="23"/>
      <c r="C11" s="23"/>
      <c r="D11" s="23"/>
      <c r="E11" s="23"/>
      <c r="F11" s="23"/>
      <c r="G11" s="23"/>
    </row>
    <row r="12" customFormat="false" ht="21.75" hidden="false" customHeight="true" outlineLevel="0" collapsed="false">
      <c r="A12" s="24" t="s">
        <v>88</v>
      </c>
      <c r="B12" s="24"/>
      <c r="C12" s="24"/>
      <c r="D12" s="24"/>
      <c r="E12" s="24"/>
      <c r="F12" s="24"/>
      <c r="G12" s="24"/>
    </row>
    <row r="13" customFormat="false" ht="21.75" hidden="false" customHeight="true" outlineLevel="0" collapsed="false">
      <c r="A13" s="25" t="s">
        <v>89</v>
      </c>
      <c r="B13" s="25"/>
      <c r="C13" s="25"/>
      <c r="D13" s="25"/>
      <c r="E13" s="25"/>
      <c r="F13" s="25"/>
      <c r="G13" s="25"/>
    </row>
  </sheetData>
  <mergeCells count="5">
    <mergeCell ref="A1:G1"/>
    <mergeCell ref="A10:G10"/>
    <mergeCell ref="A11:G11"/>
    <mergeCell ref="A12:G12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16" t="s">
        <v>90</v>
      </c>
      <c r="B1" s="16"/>
      <c r="C1" s="16"/>
      <c r="D1" s="16"/>
      <c r="E1" s="16"/>
      <c r="F1" s="16"/>
    </row>
    <row r="2" customFormat="false" ht="21.75" hidden="false" customHeight="true" outlineLevel="0" collapsed="false">
      <c r="A2" s="17" t="s">
        <v>4</v>
      </c>
      <c r="B2" s="17" t="s">
        <v>91</v>
      </c>
      <c r="C2" s="17" t="s">
        <v>92</v>
      </c>
      <c r="D2" s="17" t="s">
        <v>93</v>
      </c>
      <c r="E2" s="17" t="s">
        <v>8</v>
      </c>
      <c r="F2" s="17" t="s">
        <v>94</v>
      </c>
    </row>
    <row r="3" customFormat="false" ht="21.75" hidden="false" customHeight="true" outlineLevel="0" collapsed="false">
      <c r="A3" s="4" t="s">
        <v>20</v>
      </c>
      <c r="B3" s="5" t="s">
        <v>95</v>
      </c>
      <c r="C3" s="5" t="s">
        <v>96</v>
      </c>
      <c r="D3" s="6" t="s">
        <v>97</v>
      </c>
      <c r="E3" s="7" t="n">
        <v>20</v>
      </c>
      <c r="F3" s="6" t="s">
        <v>26</v>
      </c>
    </row>
    <row r="4" customFormat="false" ht="21.75" hidden="false" customHeight="true" outlineLevel="0" collapsed="false">
      <c r="A4" s="10" t="s">
        <v>62</v>
      </c>
      <c r="B4" s="11" t="s">
        <v>98</v>
      </c>
      <c r="C4" s="11" t="s">
        <v>99</v>
      </c>
      <c r="D4" s="12" t="s">
        <v>97</v>
      </c>
      <c r="E4" s="13" t="n">
        <v>9</v>
      </c>
      <c r="F4" s="12" t="s">
        <v>26</v>
      </c>
    </row>
    <row r="5" customFormat="false" ht="21.75" hidden="false" customHeight="true" outlineLevel="0" collapsed="false">
      <c r="A5" s="4" t="s">
        <v>45</v>
      </c>
      <c r="B5" s="5" t="s">
        <v>100</v>
      </c>
      <c r="C5" s="5" t="s">
        <v>99</v>
      </c>
      <c r="D5" s="6" t="s">
        <v>97</v>
      </c>
      <c r="E5" s="7" t="n">
        <v>16</v>
      </c>
      <c r="F5" s="6" t="s">
        <v>26</v>
      </c>
    </row>
    <row r="6" customFormat="false" ht="21.75" hidden="false" customHeight="true" outlineLevel="0" collapsed="false">
      <c r="A6" s="10" t="s">
        <v>30</v>
      </c>
      <c r="B6" s="11" t="s">
        <v>101</v>
      </c>
      <c r="C6" s="11" t="s">
        <v>102</v>
      </c>
      <c r="D6" s="12" t="s">
        <v>97</v>
      </c>
      <c r="E6" s="13" t="n">
        <v>20</v>
      </c>
      <c r="F6" s="12" t="s">
        <v>26</v>
      </c>
    </row>
    <row r="7" customFormat="false" ht="21.75" hidden="false" customHeight="true" outlineLevel="0" collapsed="false">
      <c r="A7" s="4" t="s">
        <v>37</v>
      </c>
      <c r="B7" s="5" t="s">
        <v>103</v>
      </c>
      <c r="C7" s="5" t="s">
        <v>103</v>
      </c>
      <c r="D7" s="6" t="s">
        <v>97</v>
      </c>
      <c r="E7" s="7" t="n">
        <v>15</v>
      </c>
      <c r="F7" s="6" t="s">
        <v>26</v>
      </c>
    </row>
    <row r="8" customFormat="false" ht="21.75" hidden="false" customHeight="true" outlineLevel="0" collapsed="false">
      <c r="A8" s="10" t="s">
        <v>70</v>
      </c>
      <c r="B8" s="11" t="s">
        <v>104</v>
      </c>
      <c r="C8" s="11" t="s">
        <v>103</v>
      </c>
      <c r="D8" s="12" t="s">
        <v>97</v>
      </c>
      <c r="E8" s="13" t="n">
        <v>9</v>
      </c>
      <c r="F8" s="12" t="s">
        <v>26</v>
      </c>
    </row>
    <row r="9" customFormat="false" ht="21.75" hidden="false" customHeight="true" outlineLevel="0" collapsed="false">
      <c r="A9" s="4" t="s">
        <v>54</v>
      </c>
      <c r="B9" s="5" t="s">
        <v>105</v>
      </c>
      <c r="C9" s="5" t="s">
        <v>106</v>
      </c>
      <c r="D9" s="6" t="s">
        <v>97</v>
      </c>
      <c r="E9" s="7" t="n">
        <v>12</v>
      </c>
      <c r="F9" s="6" t="s">
        <v>26</v>
      </c>
    </row>
  </sheetData>
  <mergeCells count="1">
    <mergeCell ref="A1:F1"/>
  </mergeCells>
  <conditionalFormatting sqref="E3:E9">
    <cfRule type="colorScale" priority="2">
      <colorScale>
        <cfvo type="num" val="1"/>
        <cfvo type="num" val="12"/>
        <cfvo type="num" val="25"/>
        <color rgb="FF1E7B34"/>
        <color rgb="FFD4A017"/>
        <color rgb="FFC0392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8" min="7" style="0" width="12"/>
  </cols>
  <sheetData>
    <row r="1" customFormat="false" ht="31.5" hidden="false" customHeight="true" outlineLevel="0" collapsed="false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8" hidden="false" customHeight="true" outlineLevel="0" collapsed="false">
      <c r="A3" s="17" t="s">
        <v>108</v>
      </c>
      <c r="B3" s="26" t="s">
        <v>26</v>
      </c>
      <c r="C3" s="27" t="s">
        <v>109</v>
      </c>
      <c r="D3" s="28" t="s">
        <v>110</v>
      </c>
      <c r="E3" s="26" t="s">
        <v>111</v>
      </c>
      <c r="F3" s="27" t="s">
        <v>112</v>
      </c>
      <c r="G3" s="28" t="s">
        <v>113</v>
      </c>
      <c r="H3" s="17" t="s">
        <v>114</v>
      </c>
    </row>
    <row r="4" customFormat="false" ht="33.75" hidden="false" customHeight="true" outlineLevel="0" collapsed="false">
      <c r="A4" s="29" t="n">
        <v>7</v>
      </c>
      <c r="B4" s="30" t="n">
        <v>7</v>
      </c>
      <c r="C4" s="31" t="n">
        <v>0</v>
      </c>
      <c r="D4" s="32" t="n">
        <v>0</v>
      </c>
      <c r="E4" s="30" t="n">
        <v>3</v>
      </c>
      <c r="F4" s="31" t="n">
        <v>2</v>
      </c>
      <c r="G4" s="32" t="n">
        <v>2</v>
      </c>
      <c r="H4" s="29" t="n">
        <v>5</v>
      </c>
    </row>
    <row r="5" customFormat="false" ht="13.5" hidden="false" customHeight="true" outlineLevel="0" collapsed="false"/>
    <row r="7" customFormat="false" ht="21.75" hidden="false" customHeight="true" outlineLevel="0" collapsed="false">
      <c r="A7" s="3" t="s">
        <v>2</v>
      </c>
      <c r="B7" s="3" t="s">
        <v>115</v>
      </c>
      <c r="C7" s="3" t="s">
        <v>116</v>
      </c>
      <c r="D7" s="3" t="s">
        <v>8</v>
      </c>
      <c r="E7" s="3" t="s">
        <v>9</v>
      </c>
      <c r="F7" s="3" t="s">
        <v>117</v>
      </c>
      <c r="G7" s="3" t="s">
        <v>118</v>
      </c>
      <c r="H7" s="3" t="s">
        <v>15</v>
      </c>
    </row>
    <row r="8" customFormat="false" ht="21.75" hidden="false" customHeight="true" outlineLevel="0" collapsed="false">
      <c r="A8" s="4" t="s">
        <v>18</v>
      </c>
      <c r="B8" s="4" t="s">
        <v>20</v>
      </c>
      <c r="C8" s="33" t="s">
        <v>119</v>
      </c>
      <c r="D8" s="34" t="n">
        <v>20</v>
      </c>
      <c r="E8" s="35" t="s">
        <v>120</v>
      </c>
      <c r="F8" s="33" t="s">
        <v>23</v>
      </c>
      <c r="G8" s="36" t="s">
        <v>121</v>
      </c>
      <c r="H8" s="35" t="s">
        <v>26</v>
      </c>
    </row>
    <row r="9" customFormat="false" ht="21.75" hidden="false" customHeight="true" outlineLevel="0" collapsed="false">
      <c r="A9" s="10" t="s">
        <v>28</v>
      </c>
      <c r="B9" s="10" t="s">
        <v>30</v>
      </c>
      <c r="C9" s="37" t="s">
        <v>122</v>
      </c>
      <c r="D9" s="38" t="n">
        <v>20</v>
      </c>
      <c r="E9" s="39" t="s">
        <v>120</v>
      </c>
      <c r="F9" s="37" t="s">
        <v>23</v>
      </c>
      <c r="G9" s="40" t="s">
        <v>121</v>
      </c>
      <c r="H9" s="39" t="s">
        <v>26</v>
      </c>
    </row>
    <row r="10" customFormat="false" ht="21.75" hidden="false" customHeight="true" outlineLevel="0" collapsed="false">
      <c r="A10" s="4" t="s">
        <v>35</v>
      </c>
      <c r="B10" s="4" t="s">
        <v>37</v>
      </c>
      <c r="C10" s="33" t="s">
        <v>123</v>
      </c>
      <c r="D10" s="34" t="n">
        <v>15</v>
      </c>
      <c r="E10" s="34" t="s">
        <v>124</v>
      </c>
      <c r="F10" s="33" t="s">
        <v>40</v>
      </c>
      <c r="G10" s="36" t="s">
        <v>121</v>
      </c>
      <c r="H10" s="35" t="s">
        <v>26</v>
      </c>
    </row>
    <row r="11" customFormat="false" ht="21.75" hidden="false" customHeight="true" outlineLevel="0" collapsed="false">
      <c r="A11" s="10" t="s">
        <v>43</v>
      </c>
      <c r="B11" s="10" t="s">
        <v>45</v>
      </c>
      <c r="C11" s="37" t="s">
        <v>125</v>
      </c>
      <c r="D11" s="38" t="n">
        <v>16</v>
      </c>
      <c r="E11" s="38" t="s">
        <v>124</v>
      </c>
      <c r="F11" s="37" t="s">
        <v>48</v>
      </c>
      <c r="G11" s="40" t="s">
        <v>126</v>
      </c>
      <c r="H11" s="39" t="s">
        <v>26</v>
      </c>
    </row>
    <row r="12" customFormat="false" ht="21.75" hidden="false" customHeight="true" outlineLevel="0" collapsed="false">
      <c r="A12" s="4" t="s">
        <v>52</v>
      </c>
      <c r="B12" s="4" t="s">
        <v>54</v>
      </c>
      <c r="C12" s="33" t="s">
        <v>127</v>
      </c>
      <c r="D12" s="34" t="n">
        <v>12</v>
      </c>
      <c r="E12" s="34" t="s">
        <v>124</v>
      </c>
      <c r="F12" s="33" t="s">
        <v>128</v>
      </c>
      <c r="G12" s="36" t="s">
        <v>121</v>
      </c>
      <c r="H12" s="35" t="s">
        <v>26</v>
      </c>
    </row>
    <row r="13" customFormat="false" ht="21.75" hidden="false" customHeight="true" outlineLevel="0" collapsed="false">
      <c r="A13" s="10" t="s">
        <v>60</v>
      </c>
      <c r="B13" s="10" t="s">
        <v>62</v>
      </c>
      <c r="C13" s="37" t="s">
        <v>129</v>
      </c>
      <c r="D13" s="38" t="n">
        <v>9</v>
      </c>
      <c r="E13" s="38" t="s">
        <v>130</v>
      </c>
      <c r="F13" s="37" t="s">
        <v>131</v>
      </c>
      <c r="G13" s="40" t="s">
        <v>121</v>
      </c>
      <c r="H13" s="39" t="s">
        <v>26</v>
      </c>
    </row>
    <row r="14" customFormat="false" ht="21.75" hidden="false" customHeight="true" outlineLevel="0" collapsed="false">
      <c r="A14" s="4" t="s">
        <v>68</v>
      </c>
      <c r="B14" s="4" t="s">
        <v>70</v>
      </c>
      <c r="C14" s="33" t="s">
        <v>132</v>
      </c>
      <c r="D14" s="34" t="n">
        <v>9</v>
      </c>
      <c r="E14" s="34" t="s">
        <v>130</v>
      </c>
      <c r="F14" s="33" t="s">
        <v>131</v>
      </c>
      <c r="G14" s="36" t="s">
        <v>126</v>
      </c>
      <c r="H14" s="35" t="s">
        <v>26</v>
      </c>
    </row>
  </sheetData>
  <mergeCells count="1">
    <mergeCell ref="A1:J1"/>
  </mergeCells>
  <conditionalFormatting sqref="D8:D14">
    <cfRule type="colorScale" priority="2">
      <colorScale>
        <cfvo type="num" val="1"/>
        <cfvo type="num" val="12"/>
        <cfvo type="num" val="25"/>
        <color rgb="FF1E7B34"/>
        <color rgb="FFD4A017"/>
        <color rgb="FFC0392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2026-03-17T16:06:22Z</dcterms:created>
  <dc:creator>openpyxl</dc:creator>
  <dc:description/>
  <dc:language>en-US</dc:language>
  <cp:lastModifiedBy/>
  <dcterms:modified xsi:type="dcterms:W3CDTF">2026-03-17T16:06:22Z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